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ữ Liệu Sạch" sheetId="1" r:id="rId1"/>
    <sheet name="Dữ Liệu Phân Tích" sheetId="2" r:id="rId2"/>
    <sheet name="Dashboard" sheetId="3" r:id="rId3"/>
  </sheets>
  <calcPr calcId="124519" fullCalcOnLoad="1"/>
</workbook>
</file>

<file path=xl/sharedStrings.xml><?xml version="1.0" encoding="utf-8"?>
<sst xmlns="http://schemas.openxmlformats.org/spreadsheetml/2006/main" count="207" uniqueCount="125">
  <si>
    <t>Tên quán</t>
  </si>
  <si>
    <t>Địa chỉ</t>
  </si>
  <si>
    <t>Phường</t>
  </si>
  <si>
    <t>Giá thấp nhất (VNĐ)</t>
  </si>
  <si>
    <t>Giá cao nhất (VNĐ)</t>
  </si>
  <si>
    <t>Giá trung bình (VNĐ)</t>
  </si>
  <si>
    <t>Đánh giá (Rating)</t>
  </si>
  <si>
    <t>Số lượng đánh giá (Review)</t>
  </si>
  <si>
    <t>Giờ mở cửa</t>
  </si>
  <si>
    <t>Loại hình quán</t>
  </si>
  <si>
    <t>Website/Fanpage</t>
  </si>
  <si>
    <t>96B Cafe &amp; Roastery</t>
  </si>
  <si>
    <t>96B Phan Ngữ, Phường Đa Kao, Quận 1</t>
  </si>
  <si>
    <t>Đa Kao</t>
  </si>
  <si>
    <t>08:00 - 20:00</t>
  </si>
  <si>
    <t>Specialty Coffee</t>
  </si>
  <si>
    <t>96b.co</t>
  </si>
  <si>
    <t>Bosgaurus Coffee Roasters</t>
  </si>
  <si>
    <t>12 Nguyễn Siêu, Phường Bến Nghé, Quận 1</t>
  </si>
  <si>
    <t>Bến Nghé</t>
  </si>
  <si>
    <t>07:30 - 21:00</t>
  </si>
  <si>
    <t>bosgauruscoffee.com</t>
  </si>
  <si>
    <t>Cheese Coffee Pasteur</t>
  </si>
  <si>
    <t>15 Pasteur, Phường Nguyễn Thái Bình, Quận 1</t>
  </si>
  <si>
    <t>Nguyễn Thái Bình</t>
  </si>
  <si>
    <t>07:00 - 22:30</t>
  </si>
  <si>
    <t>Coffee</t>
  </si>
  <si>
    <t>facebook.com/cheesecoffee.vn</t>
  </si>
  <si>
    <t>Chill Skybar</t>
  </si>
  <si>
    <t>Tầng 26, AB Tower, 76A Lê Lai, Phường Bến Thành, Quận 1</t>
  </si>
  <si>
    <t>Bến Thành</t>
  </si>
  <si>
    <t>17:30 - 02:00</t>
  </si>
  <si>
    <t>Rooftop</t>
  </si>
  <si>
    <t>chillsaigon.com</t>
  </si>
  <si>
    <t>Cipherz Rooftop</t>
  </si>
  <si>
    <t>379 Hoàng Sa, Phường Tân Định, Quận 1</t>
  </si>
  <si>
    <t>Tân Định</t>
  </si>
  <si>
    <t>17:00 - 00:00</t>
  </si>
  <si>
    <t>facebook.com/cipherzrooftop</t>
  </si>
  <si>
    <t>Cà Phê Trứng 3T Sương Nguyệt Anh</t>
  </si>
  <si>
    <t>10B Sương Nguyệt Anh, Phường Bến Thành, Quận 1</t>
  </si>
  <si>
    <t>07:00 - 23:00</t>
  </si>
  <si>
    <t>facebook.com/caphetrung3t</t>
  </si>
  <si>
    <t>Cộng Cà Phê Bùi Viện</t>
  </si>
  <si>
    <t>127-129 Bùi Viện, Phường Phạm Ngũ Lão, Quận 1</t>
  </si>
  <si>
    <t>Phạm Ngũ Lão</t>
  </si>
  <si>
    <t>07:00 - 23:30</t>
  </si>
  <si>
    <t>congcaphe.com</t>
  </si>
  <si>
    <t>Cộng Cà Phê Lý Tự Trọng</t>
  </si>
  <si>
    <t>26 Lý Tự Trọng, Phường Bến Nghé, Quận 1</t>
  </si>
  <si>
    <t>07:30 - 23:00</t>
  </si>
  <si>
    <t>Flat White Coffee</t>
  </si>
  <si>
    <t>274 Lý Tự Trọng, Phường Bến Thành, Quận 1</t>
  </si>
  <si>
    <t>07:30 - 22:00</t>
  </si>
  <si>
    <t>facebook.com/flatwhitecoffee</t>
  </si>
  <si>
    <t>GEEK Hub Nguyễn Đình Chiểu</t>
  </si>
  <si>
    <t>27b/9 Nguyễn Đình Chiểu, Phường Đa Kao, Quận 1</t>
  </si>
  <si>
    <t>Work Café</t>
  </si>
  <si>
    <t>geekhub.vn</t>
  </si>
  <si>
    <t>Hoff Coffee Brewers</t>
  </si>
  <si>
    <t>42bis Lý Tự Trọng, Phường Bến Nghé, Quận 1</t>
  </si>
  <si>
    <t>08:00 - 21:30</t>
  </si>
  <si>
    <t>facebook.com/hoffcoffeebrewers</t>
  </si>
  <si>
    <t>Kai Coffee Nguyễn Thái Bình</t>
  </si>
  <si>
    <t>139 Nguyễn Thái Bình, Phường Nguyễn Thái Bình, Quận 1</t>
  </si>
  <si>
    <t>00:00 - 24:00</t>
  </si>
  <si>
    <t>kaicoffee.vn</t>
  </si>
  <si>
    <t>Little Hanoi Egg Coffee</t>
  </si>
  <si>
    <t>119/5 Yersin, Phường Phạm Ngũ Lão, Quận 1</t>
  </si>
  <si>
    <t>08:00 - 22:00</t>
  </si>
  <si>
    <t>facebook.com/littlehanoieggcoffee</t>
  </si>
  <si>
    <t>Mockingbird Cafe</t>
  </si>
  <si>
    <t>Lầu 4, 14 Tôn Thất Đạm, Phường Nguyễn Thái Bình, Quận 1</t>
  </si>
  <si>
    <t>09:00 - 23:00</t>
  </si>
  <si>
    <t>facebook.com/mockingbirdcafe</t>
  </si>
  <si>
    <t>Okkio Caffe Le Loi</t>
  </si>
  <si>
    <t>122 Lê Lợi, Phường Bến Thành, Quận 1</t>
  </si>
  <si>
    <t>okkiocaffe.com</t>
  </si>
  <si>
    <t>Saigon Saigon Rooftop Bar</t>
  </si>
  <si>
    <t>Tầng 10, Caravelle Hotel, 19-23 Công Trường Lam Sơn, Phường Bến Nghé, Quận 1</t>
  </si>
  <si>
    <t>11:00 - 23:00</t>
  </si>
  <si>
    <t>caravellehotel.com</t>
  </si>
  <si>
    <t>Shin Coffee Nguyen Thiep</t>
  </si>
  <si>
    <t>18 Nguyễn Thiệp, Phường Bến Nghé, Quận 1</t>
  </si>
  <si>
    <t>shincoffee.vn</t>
  </si>
  <si>
    <t>Social Club Rooftop</t>
  </si>
  <si>
    <t>Tầng 24, Hotel des Arts, 76-78 Nguyễn Thị Minh Khai, Phường Bến Nghé, Quận 1</t>
  </si>
  <si>
    <t>15:00 - 00:00</t>
  </si>
  <si>
    <t>hoteldesartssaigon.com</t>
  </si>
  <si>
    <t>Soo Kafe Bến Thành</t>
  </si>
  <si>
    <t>35 Phan Chu Trinh, Phường Bến Thành, Quận 1</t>
  </si>
  <si>
    <t>08:00 - 23:00</t>
  </si>
  <si>
    <t>facebook.com/sookafe</t>
  </si>
  <si>
    <t>The Coffee House Trần Quang Khải</t>
  </si>
  <si>
    <t>180 Trần Quang Khải, Phường Tân Định, Quận 1</t>
  </si>
  <si>
    <t>thecoffeehouse.com</t>
  </si>
  <si>
    <t>The View Rooftop Bar &amp; Café</t>
  </si>
  <si>
    <t>Tầng thượng, 195 Bùi Viện, Phường Phạm Ngũ Lão, Quận 1</t>
  </si>
  <si>
    <t>09:00 - 01:00</t>
  </si>
  <si>
    <t>theviewrooftopbar.com</t>
  </si>
  <si>
    <t>The Workshop Coffee</t>
  </si>
  <si>
    <t>Lầu 2, 27 Ngô Đức Kế, Phường Bến Nghé, Quận 1</t>
  </si>
  <si>
    <t>facebook.com/the.workshop.coffee</t>
  </si>
  <si>
    <t>Tonkin Specialty Coffee</t>
  </si>
  <si>
    <t>91 Lý Tự Trọng, Phường Bến Thành, Quận 1</t>
  </si>
  <si>
    <t>facebook.com/tonkinspecialty</t>
  </si>
  <si>
    <t>XLIII Specialty Coffee</t>
  </si>
  <si>
    <t>178A Pasteur, Phường Bến Nghé, Quận 1</t>
  </si>
  <si>
    <t>xliiispecialtycoffee.com</t>
  </si>
  <si>
    <t>Số lượng quán</t>
  </si>
  <si>
    <t>Số lượng</t>
  </si>
  <si>
    <t>Phân khúc giá</t>
  </si>
  <si>
    <t>Dưới 50k</t>
  </si>
  <si>
    <t>50k - 100k</t>
  </si>
  <si>
    <t>100k - 150k</t>
  </si>
  <si>
    <t>Trên 150k</t>
  </si>
  <si>
    <t>Tên quán (Rating)</t>
  </si>
  <si>
    <t>Số lượt đánh giá</t>
  </si>
  <si>
    <t>Tên quán (Reviews)</t>
  </si>
  <si>
    <t>Lượt đánh giá</t>
  </si>
  <si>
    <t>PHÂN TÍCH THỊ TRƯỜNG CÀ PHÊ QUẬN 1 - TP. HỒ CHÍ MINH</t>
  </si>
  <si>
    <t>TỔNG SỐ QUÁN CÀ PHÊ</t>
  </si>
  <si>
    <t>ĐIỂM ĐÁNH GIÁ TRUNG BÌNH</t>
  </si>
  <si>
    <t>MỨC GIÁ TRUNG BÌNH (MID)</t>
  </si>
  <si>
    <t>TỔNG SỐ LƯỢT ĐÁNH GIÁ</t>
  </si>
</sst>
</file>

<file path=xl/styles.xml><?xml version="1.0" encoding="utf-8"?>
<styleSheet xmlns="http://schemas.openxmlformats.org/spreadsheetml/2006/main">
  <numFmts count="4">
    <numFmt numFmtId="164" formatCode="#,##0&quot; ₫&quot;"/>
    <numFmt numFmtId="165" formatCode="0.0"/>
    <numFmt numFmtId="166" formatCode="#,##0"/>
    <numFmt numFmtId="167" formatCode="0.00"/>
  </numFmts>
  <fonts count="6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theme="1"/>
      <name val="Segoe UI"/>
      <family val="2"/>
    </font>
    <font>
      <b/>
      <sz val="16"/>
      <color rgb="FFFFFFFF"/>
      <name val="Segoe UI"/>
      <family val="2"/>
    </font>
    <font>
      <b/>
      <sz val="9"/>
      <color rgb="FF8D6E63"/>
      <name val="Segoe UI"/>
      <family val="2"/>
    </font>
    <font>
      <b/>
      <sz val="18"/>
      <color rgb="FF3E2723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5D4037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3E2723"/>
        <bgColor indexed="64"/>
      </patternFill>
    </fill>
    <fill>
      <patternFill patternType="solid">
        <fgColor rgb="FFFAFAFA"/>
        <bgColor indexed="64"/>
      </patternFill>
    </fill>
  </fills>
  <borders count="4">
    <border>
      <left/>
      <right/>
      <top/>
      <bottom/>
      <diagonal/>
    </border>
    <border>
      <left style="thin">
        <color rgb="FF8D6E63"/>
      </left>
      <right style="thin">
        <color rgb="FF8D6E63"/>
      </right>
      <top style="thin">
        <color rgb="FF8D6E63"/>
      </top>
      <bottom style="thin">
        <color rgb="FF8D6E63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7CCC8"/>
      </left>
      <right style="thin">
        <color rgb="FFD7CCC8"/>
      </right>
      <top style="thin">
        <color rgb="FFD7CCC8"/>
      </top>
      <bottom style="thin">
        <color rgb="FFD7CCC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66" fontId="5" fillId="5" borderId="3" xfId="0" applyNumberFormat="1" applyFont="1" applyFill="1" applyBorder="1" applyAlignment="1">
      <alignment horizontal="center" vertical="center"/>
    </xf>
    <xf numFmtId="167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3E2723"/>
                </a:solidFill>
                <a:latin typeface="Segoe UI"/>
              </a:defRPr>
            </a:pPr>
            <a:r>
              <a:rPr lang="en-US" sz="1100" b="1" baseline="0">
                <a:solidFill>
                  <a:srgbClr val="3E2723"/>
                </a:solidFill>
                <a:latin typeface="Segoe UI"/>
              </a:rPr>
              <a:t>Số lượng quán theo Phường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5D4037"/>
            </a:solidFill>
            <a:ln w="12700">
              <a:solidFill>
                <a:srgbClr val="3E2723"/>
              </a:solidFill>
            </a:ln>
          </c:spPr>
          <c:cat>
            <c:strRef>
              <c:f>'Dữ Liệu Phân Tích'!$A$2:$A$7</c:f>
              <c:strCache>
                <c:ptCount val="6"/>
                <c:pt idx="0">
                  <c:v>Bến Nghé</c:v>
                </c:pt>
                <c:pt idx="1">
                  <c:v>Bến Thành</c:v>
                </c:pt>
                <c:pt idx="2">
                  <c:v>Nguyễn Thái Bình</c:v>
                </c:pt>
                <c:pt idx="3">
                  <c:v>Phạm Ngũ Lão</c:v>
                </c:pt>
                <c:pt idx="4">
                  <c:v>Đa Kao</c:v>
                </c:pt>
                <c:pt idx="5">
                  <c:v>Tân Định</c:v>
                </c:pt>
              </c:strCache>
            </c:strRef>
          </c:cat>
          <c:val>
            <c:numRef>
              <c:f>'Dữ Liệu Phân Tích'!$B$2:$B$7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>
                <a:solidFill>
                  <a:srgbClr val="555555"/>
                </a:solidFill>
                <a:latin typeface="Segoe U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EAEAEA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555555"/>
                </a:solidFill>
                <a:latin typeface="Segoe U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3E2723"/>
                </a:solidFill>
                <a:latin typeface="Segoe UI"/>
              </a:defRPr>
            </a:pPr>
            <a:r>
              <a:rPr lang="en-US" sz="1100" b="1" baseline="0">
                <a:solidFill>
                  <a:srgbClr val="3E2723"/>
                </a:solidFill>
                <a:latin typeface="Segoe UI"/>
              </a:rPr>
              <a:t>Phân bố loại hình quán cà phê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E2723"/>
              </a:solidFill>
            </c:spPr>
          </c:dPt>
          <c:dPt>
            <c:idx val="1"/>
            <c:spPr>
              <a:solidFill>
                <a:srgbClr val="8D6E63"/>
              </a:solidFill>
            </c:spPr>
          </c:dPt>
          <c:dPt>
            <c:idx val="2"/>
            <c:spPr>
              <a:solidFill>
                <a:srgbClr val="FF8F00"/>
              </a:solidFill>
            </c:spPr>
          </c:dPt>
          <c:dPt>
            <c:idx val="3"/>
            <c:spPr>
              <a:solidFill>
                <a:srgbClr val="D7CCC8"/>
              </a:solidFill>
            </c:spPr>
          </c:dPt>
          <c:cat>
            <c:strRef>
              <c:f>'Dữ Liệu Phân Tích'!$D$2:$D$5</c:f>
              <c:strCache>
                <c:ptCount val="4"/>
                <c:pt idx="0">
                  <c:v>Specialty Coffee</c:v>
                </c:pt>
                <c:pt idx="1">
                  <c:v>Work Café</c:v>
                </c:pt>
                <c:pt idx="2">
                  <c:v>Rooftop</c:v>
                </c:pt>
                <c:pt idx="3">
                  <c:v>Coffee</c:v>
                </c:pt>
              </c:strCache>
            </c:strRef>
          </c:cat>
          <c:val>
            <c:numRef>
              <c:f>'Dữ Liệu Phân Tích'!$E$2:$E$5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Segoe UI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3E2723"/>
                </a:solidFill>
                <a:latin typeface="Segoe UI"/>
              </a:defRPr>
            </a:pPr>
            <a:r>
              <a:rPr lang="en-US" sz="1100" b="1" baseline="0">
                <a:solidFill>
                  <a:srgbClr val="3E2723"/>
                </a:solidFill>
                <a:latin typeface="Segoe UI"/>
              </a:rPr>
              <a:t>Phân bố mức giá trung bình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A1887F"/>
            </a:solidFill>
            <a:ln w="12700">
              <a:solidFill>
                <a:srgbClr val="8D6E63"/>
              </a:solidFill>
            </a:ln>
          </c:spPr>
          <c:cat>
            <c:strRef>
              <c:f>'Dữ Liệu Phân Tích'!$G$2:$G$5</c:f>
              <c:strCache>
                <c:ptCount val="4"/>
                <c:pt idx="0">
                  <c:v>Dưới 50k</c:v>
                </c:pt>
                <c:pt idx="1">
                  <c:v>50k - 100k</c:v>
                </c:pt>
                <c:pt idx="2">
                  <c:v>100k - 150k</c:v>
                </c:pt>
                <c:pt idx="3">
                  <c:v>Trên 150k</c:v>
                </c:pt>
              </c:strCache>
            </c:strRef>
          </c:cat>
          <c:val>
            <c:numRef>
              <c:f>'Dữ Liệu Phân Tích'!$H$2:$H$5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>
                <a:solidFill>
                  <a:srgbClr val="555555"/>
                </a:solidFill>
                <a:latin typeface="Segoe U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AEAEA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555555"/>
                </a:solidFill>
                <a:latin typeface="Segoe U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3E2723"/>
                </a:solidFill>
                <a:latin typeface="Segoe UI"/>
              </a:defRPr>
            </a:pPr>
            <a:r>
              <a:rPr lang="en-US" sz="1100" b="1" baseline="0">
                <a:solidFill>
                  <a:srgbClr val="3E2723"/>
                </a:solidFill>
                <a:latin typeface="Segoe UI"/>
              </a:rPr>
              <a:t>Top 10 quán có đánh giá (Rating) cao nhất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FF8F00"/>
            </a:solidFill>
            <a:ln w="12700">
              <a:solidFill>
                <a:srgbClr val="E65100"/>
              </a:solidFill>
            </a:ln>
          </c:spPr>
          <c:cat>
            <c:strRef>
              <c:f>'Dữ Liệu Phân Tích'!$J$2:$J$11</c:f>
              <c:strCache>
                <c:ptCount val="10"/>
                <c:pt idx="0">
                  <c:v>Little Hanoi Egg Coffee</c:v>
                </c:pt>
                <c:pt idx="1">
                  <c:v>XLIII Specialty Coffee</c:v>
                </c:pt>
                <c:pt idx="2">
                  <c:v>96B Cafe &amp; Roastery</c:v>
                </c:pt>
                <c:pt idx="3">
                  <c:v>Hoff Coffee Brewers</c:v>
                </c:pt>
                <c:pt idx="4">
                  <c:v>Saigon Saigon Rooftop Bar</c:v>
                </c:pt>
                <c:pt idx="5">
                  <c:v>Social Club Rooftop</c:v>
                </c:pt>
                <c:pt idx="6">
                  <c:v>Okkio Caffe Le Loi</c:v>
                </c:pt>
                <c:pt idx="7">
                  <c:v>Bosgaurus Coffee Roasters</c:v>
                </c:pt>
                <c:pt idx="8">
                  <c:v>Tonkin Specialty Coffee</c:v>
                </c:pt>
                <c:pt idx="9">
                  <c:v>GEEK Hub Nguyễn Đình Chiểu</c:v>
                </c:pt>
              </c:strCache>
            </c:strRef>
          </c:cat>
          <c:val>
            <c:numRef>
              <c:f>'Dữ Liệu Phân Tích'!$K$2:$K$11</c:f>
              <c:numCache>
                <c:formatCode>General</c:formatCode>
                <c:ptCount val="10"/>
                <c:pt idx="0">
                  <c:v>4.8</c:v>
                </c:pt>
                <c:pt idx="1">
                  <c:v>4.6</c:v>
                </c:pt>
                <c:pt idx="2">
                  <c:v>4.6</c:v>
                </c:pt>
                <c:pt idx="3">
                  <c:v>4.6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4.5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txPr>
          <a:bodyPr/>
          <a:lstStyle/>
          <a:p>
            <a:pPr>
              <a:defRPr sz="900" baseline="0">
                <a:solidFill>
                  <a:srgbClr val="555555"/>
                </a:solidFill>
                <a:latin typeface="Segoe U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5.0"/>
          <c:min val="3.5"/>
        </c:scaling>
        <c:axPos val="b"/>
        <c:majorGridlines/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555555"/>
                </a:solidFill>
                <a:latin typeface="Segoe UI"/>
              </a:defRPr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3E2723"/>
                </a:solidFill>
                <a:latin typeface="Segoe UI"/>
              </a:defRPr>
            </a:pPr>
            <a:r>
              <a:rPr lang="en-US" sz="1100" b="1" baseline="0">
                <a:solidFill>
                  <a:srgbClr val="3E2723"/>
                </a:solidFill>
                <a:latin typeface="Segoe UI"/>
              </a:rPr>
              <a:t>So sánh lượt đánh giá (Reviews) giữa các quán hàng đầu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3E2723"/>
            </a:solidFill>
            <a:ln w="12700">
              <a:solidFill>
                <a:srgbClr val="212121"/>
              </a:solidFill>
            </a:ln>
          </c:spPr>
          <c:cat>
            <c:strRef>
              <c:f>'Dữ Liệu Phân Tích'!$N$2:$N$13</c:f>
              <c:strCache>
                <c:ptCount val="12"/>
                <c:pt idx="0">
                  <c:v>Little Hanoi Egg Coffee</c:v>
                </c:pt>
                <c:pt idx="1">
                  <c:v>Chill Skybar</c:v>
                </c:pt>
                <c:pt idx="2">
                  <c:v>The Workshop Coffee</c:v>
                </c:pt>
                <c:pt idx="3">
                  <c:v>Cộng Cà Phê Lý Tự Trọng</c:v>
                </c:pt>
                <c:pt idx="4">
                  <c:v>The View Rooftop Bar &amp; Café</c:v>
                </c:pt>
                <c:pt idx="5">
                  <c:v>Saigon Saigon Rooftop Bar</c:v>
                </c:pt>
                <c:pt idx="6">
                  <c:v>Cheese Coffee Pasteur</c:v>
                </c:pt>
                <c:pt idx="7">
                  <c:v>Social Club Rooftop</c:v>
                </c:pt>
                <c:pt idx="8">
                  <c:v>Cộng Cà Phê Bùi Viện</c:v>
                </c:pt>
                <c:pt idx="9">
                  <c:v>The Coffee House Trần Quang Khải</c:v>
                </c:pt>
                <c:pt idx="10">
                  <c:v>Shin Coffee Nguyen Thiep</c:v>
                </c:pt>
                <c:pt idx="11">
                  <c:v>Kai Coffee Nguyễn Thái Bình</c:v>
                </c:pt>
              </c:strCache>
            </c:strRef>
          </c:cat>
          <c:val>
            <c:numRef>
              <c:f>'Dữ Liệu Phân Tích'!$O$2:$O$13</c:f>
              <c:numCache>
                <c:formatCode>General</c:formatCode>
                <c:ptCount val="12"/>
                <c:pt idx="0">
                  <c:v>3450</c:v>
                </c:pt>
                <c:pt idx="1">
                  <c:v>2850</c:v>
                </c:pt>
                <c:pt idx="2">
                  <c:v>1850</c:v>
                </c:pt>
                <c:pt idx="3">
                  <c:v>1650</c:v>
                </c:pt>
                <c:pt idx="4">
                  <c:v>1420</c:v>
                </c:pt>
                <c:pt idx="5">
                  <c:v>1230</c:v>
                </c:pt>
                <c:pt idx="6">
                  <c:v>1200</c:v>
                </c:pt>
                <c:pt idx="7">
                  <c:v>1100</c:v>
                </c:pt>
                <c:pt idx="8">
                  <c:v>980</c:v>
                </c:pt>
                <c:pt idx="9">
                  <c:v>820</c:v>
                </c:pt>
                <c:pt idx="10">
                  <c:v>750</c:v>
                </c:pt>
                <c:pt idx="11">
                  <c:v>680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50" baseline="0">
                <a:solidFill>
                  <a:srgbClr val="555555"/>
                </a:solidFill>
                <a:latin typeface="Segoe U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AEAEA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555555"/>
                </a:solidFill>
                <a:latin typeface="Segoe UI"/>
              </a:defRPr>
            </a:pPr>
            <a:endParaRPr lang="en-US"/>
          </a:p>
        </c:txPr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5</xdr:col>
      <xdr:colOff>533400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11</xdr:col>
      <xdr:colOff>533400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5</xdr:col>
      <xdr:colOff>533400</xdr:colOff>
      <xdr:row>39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11</xdr:col>
      <xdr:colOff>533400</xdr:colOff>
      <xdr:row>39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11</xdr:col>
      <xdr:colOff>19050</xdr:colOff>
      <xdr:row>55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showGridLines="0" tabSelected="1" workbookViewId="0"/>
  </sheetViews>
  <sheetFormatPr defaultRowHeight="15"/>
  <cols>
    <col min="1" max="1" width="26.7109375" customWidth="1"/>
    <col min="2" max="2" width="36.7109375" customWidth="1"/>
    <col min="3" max="5" width="16.7109375" customWidth="1"/>
    <col min="6" max="6" width="17.7109375" customWidth="1"/>
    <col min="7" max="7" width="14.7109375" customWidth="1"/>
    <col min="8" max="8" width="16.7109375" customWidth="1"/>
    <col min="9" max="9" width="14.7109375" customWidth="1"/>
    <col min="10" max="10" width="16.7109375" customWidth="1"/>
    <col min="11" max="11" width="2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60000</v>
      </c>
      <c r="E2" s="3">
        <v>130000</v>
      </c>
      <c r="F2" s="3">
        <v>95000</v>
      </c>
      <c r="G2" s="4">
        <v>4.6</v>
      </c>
      <c r="H2" s="5">
        <v>290</v>
      </c>
      <c r="I2" s="2" t="s">
        <v>14</v>
      </c>
      <c r="J2" s="2" t="s">
        <v>15</v>
      </c>
      <c r="K2" s="2" t="s">
        <v>16</v>
      </c>
    </row>
    <row r="3" spans="1:11">
      <c r="A3" s="6" t="s">
        <v>17</v>
      </c>
      <c r="B3" s="6" t="s">
        <v>18</v>
      </c>
      <c r="C3" s="6" t="s">
        <v>19</v>
      </c>
      <c r="D3" s="7">
        <v>75000</v>
      </c>
      <c r="E3" s="7">
        <v>180000</v>
      </c>
      <c r="F3" s="7">
        <v>127500</v>
      </c>
      <c r="G3" s="8">
        <v>4.5</v>
      </c>
      <c r="H3" s="9">
        <v>480</v>
      </c>
      <c r="I3" s="6" t="s">
        <v>20</v>
      </c>
      <c r="J3" s="6" t="s">
        <v>15</v>
      </c>
      <c r="K3" s="6" t="s">
        <v>21</v>
      </c>
    </row>
    <row r="4" spans="1:11">
      <c r="A4" s="2" t="s">
        <v>22</v>
      </c>
      <c r="B4" s="2" t="s">
        <v>23</v>
      </c>
      <c r="C4" s="2" t="s">
        <v>24</v>
      </c>
      <c r="D4" s="3">
        <v>45000</v>
      </c>
      <c r="E4" s="3">
        <v>90000</v>
      </c>
      <c r="F4" s="3">
        <v>67500</v>
      </c>
      <c r="G4" s="4">
        <v>4.4</v>
      </c>
      <c r="H4" s="5">
        <v>1200</v>
      </c>
      <c r="I4" s="2" t="s">
        <v>25</v>
      </c>
      <c r="J4" s="2" t="s">
        <v>26</v>
      </c>
      <c r="K4" s="2" t="s">
        <v>27</v>
      </c>
    </row>
    <row r="5" spans="1:11">
      <c r="A5" s="6" t="s">
        <v>28</v>
      </c>
      <c r="B5" s="6" t="s">
        <v>29</v>
      </c>
      <c r="C5" s="6" t="s">
        <v>30</v>
      </c>
      <c r="D5" s="7">
        <v>200000</v>
      </c>
      <c r="E5" s="7">
        <v>600000</v>
      </c>
      <c r="F5" s="7">
        <v>400000</v>
      </c>
      <c r="G5" s="8">
        <v>4.3</v>
      </c>
      <c r="H5" s="9">
        <v>2850</v>
      </c>
      <c r="I5" s="6" t="s">
        <v>31</v>
      </c>
      <c r="J5" s="6" t="s">
        <v>32</v>
      </c>
      <c r="K5" s="6" t="s">
        <v>33</v>
      </c>
    </row>
    <row r="6" spans="1:11">
      <c r="A6" s="2" t="s">
        <v>34</v>
      </c>
      <c r="B6" s="2" t="s">
        <v>35</v>
      </c>
      <c r="C6" s="2" t="s">
        <v>36</v>
      </c>
      <c r="D6" s="3">
        <v>30000</v>
      </c>
      <c r="E6" s="3">
        <v>65000</v>
      </c>
      <c r="F6" s="3">
        <v>47500</v>
      </c>
      <c r="G6" s="4">
        <v>4.5</v>
      </c>
      <c r="H6" s="5">
        <v>185</v>
      </c>
      <c r="I6" s="2" t="s">
        <v>37</v>
      </c>
      <c r="J6" s="2" t="s">
        <v>32</v>
      </c>
      <c r="K6" s="2" t="s">
        <v>38</v>
      </c>
    </row>
    <row r="7" spans="1:11">
      <c r="A7" s="6" t="s">
        <v>39</v>
      </c>
      <c r="B7" s="6" t="s">
        <v>40</v>
      </c>
      <c r="C7" s="6" t="s">
        <v>30</v>
      </c>
      <c r="D7" s="7">
        <v>45000</v>
      </c>
      <c r="E7" s="7">
        <v>80000</v>
      </c>
      <c r="F7" s="7">
        <v>62500</v>
      </c>
      <c r="G7" s="8">
        <v>4.4</v>
      </c>
      <c r="H7" s="9">
        <v>353</v>
      </c>
      <c r="I7" s="6" t="s">
        <v>41</v>
      </c>
      <c r="J7" s="6" t="s">
        <v>26</v>
      </c>
      <c r="K7" s="6" t="s">
        <v>42</v>
      </c>
    </row>
    <row r="8" spans="1:11">
      <c r="A8" s="2" t="s">
        <v>43</v>
      </c>
      <c r="B8" s="2" t="s">
        <v>44</v>
      </c>
      <c r="C8" s="2" t="s">
        <v>45</v>
      </c>
      <c r="D8" s="3">
        <v>35000</v>
      </c>
      <c r="E8" s="3">
        <v>75000</v>
      </c>
      <c r="F8" s="3">
        <v>55000</v>
      </c>
      <c r="G8" s="4">
        <v>4.2</v>
      </c>
      <c r="H8" s="5">
        <v>980</v>
      </c>
      <c r="I8" s="2" t="s">
        <v>46</v>
      </c>
      <c r="J8" s="2" t="s">
        <v>26</v>
      </c>
      <c r="K8" s="2" t="s">
        <v>47</v>
      </c>
    </row>
    <row r="9" spans="1:11">
      <c r="A9" s="6" t="s">
        <v>48</v>
      </c>
      <c r="B9" s="6" t="s">
        <v>49</v>
      </c>
      <c r="C9" s="6" t="s">
        <v>19</v>
      </c>
      <c r="D9" s="7">
        <v>35000</v>
      </c>
      <c r="E9" s="7">
        <v>75000</v>
      </c>
      <c r="F9" s="7">
        <v>55000</v>
      </c>
      <c r="G9" s="8">
        <v>4.3</v>
      </c>
      <c r="H9" s="9">
        <v>1650</v>
      </c>
      <c r="I9" s="6" t="s">
        <v>50</v>
      </c>
      <c r="J9" s="6" t="s">
        <v>26</v>
      </c>
      <c r="K9" s="6" t="s">
        <v>47</v>
      </c>
    </row>
    <row r="10" spans="1:11">
      <c r="A10" s="2" t="s">
        <v>51</v>
      </c>
      <c r="B10" s="2" t="s">
        <v>52</v>
      </c>
      <c r="C10" s="2" t="s">
        <v>30</v>
      </c>
      <c r="D10" s="3">
        <v>40000</v>
      </c>
      <c r="E10" s="3">
        <v>80000</v>
      </c>
      <c r="F10" s="3">
        <v>60000</v>
      </c>
      <c r="G10" s="4">
        <v>4.5</v>
      </c>
      <c r="H10" s="5">
        <v>249</v>
      </c>
      <c r="I10" s="2" t="s">
        <v>53</v>
      </c>
      <c r="J10" s="2" t="s">
        <v>26</v>
      </c>
      <c r="K10" s="2" t="s">
        <v>54</v>
      </c>
    </row>
    <row r="11" spans="1:11">
      <c r="A11" s="6" t="s">
        <v>55</v>
      </c>
      <c r="B11" s="6" t="s">
        <v>56</v>
      </c>
      <c r="C11" s="6" t="s">
        <v>13</v>
      </c>
      <c r="D11" s="7">
        <v>40000</v>
      </c>
      <c r="E11" s="7">
        <v>80000</v>
      </c>
      <c r="F11" s="7">
        <v>60000</v>
      </c>
      <c r="G11" s="8">
        <v>4.5</v>
      </c>
      <c r="H11" s="9">
        <v>280</v>
      </c>
      <c r="I11" s="6" t="s">
        <v>53</v>
      </c>
      <c r="J11" s="6" t="s">
        <v>57</v>
      </c>
      <c r="K11" s="6" t="s">
        <v>58</v>
      </c>
    </row>
    <row r="12" spans="1:11">
      <c r="A12" s="2" t="s">
        <v>59</v>
      </c>
      <c r="B12" s="2" t="s">
        <v>60</v>
      </c>
      <c r="C12" s="2" t="s">
        <v>19</v>
      </c>
      <c r="D12" s="3">
        <v>50000</v>
      </c>
      <c r="E12" s="3">
        <v>95000</v>
      </c>
      <c r="F12" s="3">
        <v>72500</v>
      </c>
      <c r="G12" s="4">
        <v>4.6</v>
      </c>
      <c r="H12" s="5">
        <v>180</v>
      </c>
      <c r="I12" s="2" t="s">
        <v>61</v>
      </c>
      <c r="J12" s="2" t="s">
        <v>15</v>
      </c>
      <c r="K12" s="2" t="s">
        <v>62</v>
      </c>
    </row>
    <row r="13" spans="1:11">
      <c r="A13" s="6" t="s">
        <v>63</v>
      </c>
      <c r="B13" s="6" t="s">
        <v>64</v>
      </c>
      <c r="C13" s="6" t="s">
        <v>24</v>
      </c>
      <c r="D13" s="7">
        <v>35000</v>
      </c>
      <c r="E13" s="7">
        <v>75000</v>
      </c>
      <c r="F13" s="7">
        <v>55000</v>
      </c>
      <c r="G13" s="8">
        <v>4.2</v>
      </c>
      <c r="H13" s="9">
        <v>680</v>
      </c>
      <c r="I13" s="6" t="s">
        <v>65</v>
      </c>
      <c r="J13" s="6" t="s">
        <v>57</v>
      </c>
      <c r="K13" s="6" t="s">
        <v>66</v>
      </c>
    </row>
    <row r="14" spans="1:11">
      <c r="A14" s="2" t="s">
        <v>67</v>
      </c>
      <c r="B14" s="2" t="s">
        <v>68</v>
      </c>
      <c r="C14" s="2" t="s">
        <v>45</v>
      </c>
      <c r="D14" s="3">
        <v>40000</v>
      </c>
      <c r="E14" s="3">
        <v>85000</v>
      </c>
      <c r="F14" s="3">
        <v>62500</v>
      </c>
      <c r="G14" s="4">
        <v>4.8</v>
      </c>
      <c r="H14" s="5">
        <v>3450</v>
      </c>
      <c r="I14" s="2" t="s">
        <v>69</v>
      </c>
      <c r="J14" s="2" t="s">
        <v>26</v>
      </c>
      <c r="K14" s="2" t="s">
        <v>70</v>
      </c>
    </row>
    <row r="15" spans="1:11">
      <c r="A15" s="6" t="s">
        <v>71</v>
      </c>
      <c r="B15" s="6" t="s">
        <v>72</v>
      </c>
      <c r="C15" s="6" t="s">
        <v>24</v>
      </c>
      <c r="D15" s="7">
        <v>35000</v>
      </c>
      <c r="E15" s="7">
        <v>75000</v>
      </c>
      <c r="F15" s="7">
        <v>55000</v>
      </c>
      <c r="G15" s="8">
        <v>4.3</v>
      </c>
      <c r="H15" s="9">
        <v>420</v>
      </c>
      <c r="I15" s="6" t="s">
        <v>73</v>
      </c>
      <c r="J15" s="6" t="s">
        <v>26</v>
      </c>
      <c r="K15" s="6" t="s">
        <v>74</v>
      </c>
    </row>
    <row r="16" spans="1:11">
      <c r="A16" s="2" t="s">
        <v>75</v>
      </c>
      <c r="B16" s="2" t="s">
        <v>76</v>
      </c>
      <c r="C16" s="2" t="s">
        <v>30</v>
      </c>
      <c r="D16" s="3">
        <v>60000</v>
      </c>
      <c r="E16" s="3">
        <v>110000</v>
      </c>
      <c r="F16" s="3">
        <v>85000</v>
      </c>
      <c r="G16" s="4">
        <v>4.5</v>
      </c>
      <c r="H16" s="5">
        <v>580</v>
      </c>
      <c r="I16" s="2" t="s">
        <v>53</v>
      </c>
      <c r="J16" s="2" t="s">
        <v>15</v>
      </c>
      <c r="K16" s="2" t="s">
        <v>77</v>
      </c>
    </row>
    <row r="17" spans="1:11">
      <c r="A17" s="6" t="s">
        <v>78</v>
      </c>
      <c r="B17" s="6" t="s">
        <v>79</v>
      </c>
      <c r="C17" s="6" t="s">
        <v>19</v>
      </c>
      <c r="D17" s="7">
        <v>150000</v>
      </c>
      <c r="E17" s="7">
        <v>400000</v>
      </c>
      <c r="F17" s="7">
        <v>275000</v>
      </c>
      <c r="G17" s="8">
        <v>4.5</v>
      </c>
      <c r="H17" s="9">
        <v>1230</v>
      </c>
      <c r="I17" s="6" t="s">
        <v>80</v>
      </c>
      <c r="J17" s="6" t="s">
        <v>32</v>
      </c>
      <c r="K17" s="6" t="s">
        <v>81</v>
      </c>
    </row>
    <row r="18" spans="1:11">
      <c r="A18" s="2" t="s">
        <v>82</v>
      </c>
      <c r="B18" s="2" t="s">
        <v>83</v>
      </c>
      <c r="C18" s="2" t="s">
        <v>19</v>
      </c>
      <c r="D18" s="3">
        <v>70000</v>
      </c>
      <c r="E18" s="3">
        <v>160000</v>
      </c>
      <c r="F18" s="3">
        <v>115000</v>
      </c>
      <c r="G18" s="4">
        <v>4.4</v>
      </c>
      <c r="H18" s="5">
        <v>750</v>
      </c>
      <c r="I18" s="2" t="s">
        <v>53</v>
      </c>
      <c r="J18" s="2" t="s">
        <v>15</v>
      </c>
      <c r="K18" s="2" t="s">
        <v>84</v>
      </c>
    </row>
    <row r="19" spans="1:11">
      <c r="A19" s="6" t="s">
        <v>85</v>
      </c>
      <c r="B19" s="6" t="s">
        <v>86</v>
      </c>
      <c r="C19" s="6" t="s">
        <v>19</v>
      </c>
      <c r="D19" s="7">
        <v>180000</v>
      </c>
      <c r="E19" s="7">
        <v>450000</v>
      </c>
      <c r="F19" s="7">
        <v>315000</v>
      </c>
      <c r="G19" s="8">
        <v>4.5</v>
      </c>
      <c r="H19" s="9">
        <v>1100</v>
      </c>
      <c r="I19" s="6" t="s">
        <v>87</v>
      </c>
      <c r="J19" s="6" t="s">
        <v>32</v>
      </c>
      <c r="K19" s="6" t="s">
        <v>88</v>
      </c>
    </row>
    <row r="20" spans="1:11">
      <c r="A20" s="2" t="s">
        <v>89</v>
      </c>
      <c r="B20" s="2" t="s">
        <v>90</v>
      </c>
      <c r="C20" s="2" t="s">
        <v>30</v>
      </c>
      <c r="D20" s="3">
        <v>45000</v>
      </c>
      <c r="E20" s="3">
        <v>85000</v>
      </c>
      <c r="F20" s="3">
        <v>65000</v>
      </c>
      <c r="G20" s="4">
        <v>4.3</v>
      </c>
      <c r="H20" s="5">
        <v>520</v>
      </c>
      <c r="I20" s="2" t="s">
        <v>91</v>
      </c>
      <c r="J20" s="2" t="s">
        <v>57</v>
      </c>
      <c r="K20" s="2" t="s">
        <v>92</v>
      </c>
    </row>
    <row r="21" spans="1:11">
      <c r="A21" s="6" t="s">
        <v>93</v>
      </c>
      <c r="B21" s="6" t="s">
        <v>94</v>
      </c>
      <c r="C21" s="6" t="s">
        <v>36</v>
      </c>
      <c r="D21" s="7">
        <v>35000</v>
      </c>
      <c r="E21" s="7">
        <v>70000</v>
      </c>
      <c r="F21" s="7">
        <v>52500</v>
      </c>
      <c r="G21" s="8">
        <v>4.1</v>
      </c>
      <c r="H21" s="9">
        <v>820</v>
      </c>
      <c r="I21" s="6" t="s">
        <v>25</v>
      </c>
      <c r="J21" s="6" t="s">
        <v>26</v>
      </c>
      <c r="K21" s="6" t="s">
        <v>95</v>
      </c>
    </row>
    <row r="22" spans="1:11">
      <c r="A22" s="2" t="s">
        <v>96</v>
      </c>
      <c r="B22" s="2" t="s">
        <v>97</v>
      </c>
      <c r="C22" s="2" t="s">
        <v>45</v>
      </c>
      <c r="D22" s="3">
        <v>60000</v>
      </c>
      <c r="E22" s="3">
        <v>220000</v>
      </c>
      <c r="F22" s="3">
        <v>140000</v>
      </c>
      <c r="G22" s="4">
        <v>4.3</v>
      </c>
      <c r="H22" s="5">
        <v>1420</v>
      </c>
      <c r="I22" s="2" t="s">
        <v>98</v>
      </c>
      <c r="J22" s="2" t="s">
        <v>32</v>
      </c>
      <c r="K22" s="2" t="s">
        <v>99</v>
      </c>
    </row>
    <row r="23" spans="1:11">
      <c r="A23" s="6" t="s">
        <v>100</v>
      </c>
      <c r="B23" s="6" t="s">
        <v>101</v>
      </c>
      <c r="C23" s="6" t="s">
        <v>19</v>
      </c>
      <c r="D23" s="7">
        <v>80000</v>
      </c>
      <c r="E23" s="7">
        <v>150000</v>
      </c>
      <c r="F23" s="7">
        <v>115000</v>
      </c>
      <c r="G23" s="8">
        <v>4.4</v>
      </c>
      <c r="H23" s="9">
        <v>1850</v>
      </c>
      <c r="I23" s="6" t="s">
        <v>69</v>
      </c>
      <c r="J23" s="6" t="s">
        <v>15</v>
      </c>
      <c r="K23" s="6" t="s">
        <v>102</v>
      </c>
    </row>
    <row r="24" spans="1:11">
      <c r="A24" s="2" t="s">
        <v>103</v>
      </c>
      <c r="B24" s="2" t="s">
        <v>104</v>
      </c>
      <c r="C24" s="2" t="s">
        <v>30</v>
      </c>
      <c r="D24" s="3">
        <v>55000</v>
      </c>
      <c r="E24" s="3">
        <v>110000</v>
      </c>
      <c r="F24" s="3">
        <v>82500</v>
      </c>
      <c r="G24" s="4">
        <v>4.5</v>
      </c>
      <c r="H24" s="5">
        <v>350</v>
      </c>
      <c r="I24" s="2" t="s">
        <v>69</v>
      </c>
      <c r="J24" s="2" t="s">
        <v>15</v>
      </c>
      <c r="K24" s="2" t="s">
        <v>105</v>
      </c>
    </row>
    <row r="25" spans="1:11">
      <c r="A25" s="6" t="s">
        <v>106</v>
      </c>
      <c r="B25" s="6" t="s">
        <v>107</v>
      </c>
      <c r="C25" s="6" t="s">
        <v>19</v>
      </c>
      <c r="D25" s="7">
        <v>90000</v>
      </c>
      <c r="E25" s="7">
        <v>220000</v>
      </c>
      <c r="F25" s="7">
        <v>155000</v>
      </c>
      <c r="G25" s="8">
        <v>4.6</v>
      </c>
      <c r="H25" s="9">
        <v>320</v>
      </c>
      <c r="I25" s="6" t="s">
        <v>53</v>
      </c>
      <c r="J25" s="6" t="s">
        <v>15</v>
      </c>
      <c r="K25" s="6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showGridLines="0" workbookViewId="0"/>
  </sheetViews>
  <sheetFormatPr defaultRowHeight="15"/>
  <cols>
    <col min="1" max="15" width="18.7109375" customWidth="1"/>
  </cols>
  <sheetData>
    <row r="1" spans="1:15">
      <c r="A1" s="1" t="s">
        <v>2</v>
      </c>
      <c r="B1" s="1" t="s">
        <v>109</v>
      </c>
      <c r="D1" s="1" t="s">
        <v>9</v>
      </c>
      <c r="E1" s="1" t="s">
        <v>110</v>
      </c>
      <c r="G1" s="1" t="s">
        <v>111</v>
      </c>
      <c r="H1" s="1" t="s">
        <v>110</v>
      </c>
      <c r="J1" s="1" t="s">
        <v>116</v>
      </c>
      <c r="K1" s="1" t="s">
        <v>6</v>
      </c>
      <c r="L1" s="1" t="s">
        <v>117</v>
      </c>
      <c r="N1" s="1" t="s">
        <v>118</v>
      </c>
      <c r="O1" s="1" t="s">
        <v>119</v>
      </c>
    </row>
    <row r="2" spans="1:15">
      <c r="A2" s="2" t="s">
        <v>19</v>
      </c>
      <c r="B2" s="5">
        <f>COUNTIF('Dữ Liệu Sạch'!$C$2:$C$25, "Bến Nghé")</f>
        <v>0</v>
      </c>
      <c r="D2" s="2" t="s">
        <v>15</v>
      </c>
      <c r="E2" s="5">
        <f>COUNTIF('Dữ Liệu Sạch'!$J$2:$J$25, "Specialty Coffee")</f>
        <v>0</v>
      </c>
      <c r="G2" s="2" t="s">
        <v>112</v>
      </c>
      <c r="H2" s="5">
        <f>COUNTIFS('Dữ Liệu Sạch'!$F$2:$F$25, "&lt;50000")</f>
        <v>0</v>
      </c>
      <c r="J2" s="2" t="s">
        <v>67</v>
      </c>
      <c r="K2" s="4">
        <v>4.8</v>
      </c>
      <c r="L2" s="5">
        <v>3450</v>
      </c>
      <c r="N2" s="2" t="s">
        <v>67</v>
      </c>
      <c r="O2" s="5">
        <v>3450</v>
      </c>
    </row>
    <row r="3" spans="1:15">
      <c r="A3" s="2" t="s">
        <v>30</v>
      </c>
      <c r="B3" s="5">
        <f>COUNTIF('Dữ Liệu Sạch'!$C$2:$C$25, "Bến Thành")</f>
        <v>0</v>
      </c>
      <c r="D3" s="2" t="s">
        <v>57</v>
      </c>
      <c r="E3" s="5">
        <f>COUNTIF('Dữ Liệu Sạch'!$J$2:$J$25, "Work Café")</f>
        <v>0</v>
      </c>
      <c r="G3" s="2" t="s">
        <v>113</v>
      </c>
      <c r="H3" s="5">
        <f>COUNTIFS('Dữ Liệu Sạch'!$F$2:$F$25, "&gt;=50000", 'Dữ Liệu Sạch'!$F$2:$F$25, "&lt;=100000")</f>
        <v>0</v>
      </c>
      <c r="J3" s="2" t="s">
        <v>106</v>
      </c>
      <c r="K3" s="4">
        <v>4.6</v>
      </c>
      <c r="L3" s="5">
        <v>320</v>
      </c>
      <c r="N3" s="2" t="s">
        <v>28</v>
      </c>
      <c r="O3" s="5">
        <v>2850</v>
      </c>
    </row>
    <row r="4" spans="1:15">
      <c r="A4" s="2" t="s">
        <v>24</v>
      </c>
      <c r="B4" s="5">
        <f>COUNTIF('Dữ Liệu Sạch'!$C$2:$C$25, "Nguyễn Thái Bình")</f>
        <v>0</v>
      </c>
      <c r="D4" s="2" t="s">
        <v>32</v>
      </c>
      <c r="E4" s="5">
        <f>COUNTIF('Dữ Liệu Sạch'!$J$2:$J$25, "Rooftop")</f>
        <v>0</v>
      </c>
      <c r="G4" s="2" t="s">
        <v>114</v>
      </c>
      <c r="H4" s="5">
        <f>COUNTIFS('Dữ Liệu Sạch'!$F$2:$F$25, "&gt;100000", 'Dữ Liệu Sạch'!$F$2:$F$25, "&lt;=150000")</f>
        <v>0</v>
      </c>
      <c r="J4" s="2" t="s">
        <v>11</v>
      </c>
      <c r="K4" s="4">
        <v>4.6</v>
      </c>
      <c r="L4" s="5">
        <v>290</v>
      </c>
      <c r="N4" s="2" t="s">
        <v>100</v>
      </c>
      <c r="O4" s="5">
        <v>1850</v>
      </c>
    </row>
    <row r="5" spans="1:15">
      <c r="A5" s="2" t="s">
        <v>45</v>
      </c>
      <c r="B5" s="5">
        <f>COUNTIF('Dữ Liệu Sạch'!$C$2:$C$25, "Phạm Ngũ Lão")</f>
        <v>0</v>
      </c>
      <c r="D5" s="2" t="s">
        <v>26</v>
      </c>
      <c r="E5" s="5">
        <f>COUNTIF('Dữ Liệu Sạch'!$J$2:$J$25, "Coffee")</f>
        <v>0</v>
      </c>
      <c r="G5" s="2" t="s">
        <v>115</v>
      </c>
      <c r="H5" s="5">
        <f>COUNTIFS('Dữ Liệu Sạch'!$F$2:$F$25, "&gt;150000")</f>
        <v>0</v>
      </c>
      <c r="J5" s="2" t="s">
        <v>59</v>
      </c>
      <c r="K5" s="4">
        <v>4.6</v>
      </c>
      <c r="L5" s="5">
        <v>180</v>
      </c>
      <c r="N5" s="2" t="s">
        <v>48</v>
      </c>
      <c r="O5" s="5">
        <v>1650</v>
      </c>
    </row>
    <row r="6" spans="1:15">
      <c r="A6" s="2" t="s">
        <v>13</v>
      </c>
      <c r="B6" s="5">
        <f>COUNTIF('Dữ Liệu Sạch'!$C$2:$C$25, "Đa Kao")</f>
        <v>0</v>
      </c>
      <c r="J6" s="2" t="s">
        <v>78</v>
      </c>
      <c r="K6" s="4">
        <v>4.5</v>
      </c>
      <c r="L6" s="5">
        <v>1230</v>
      </c>
      <c r="N6" s="2" t="s">
        <v>96</v>
      </c>
      <c r="O6" s="5">
        <v>1420</v>
      </c>
    </row>
    <row r="7" spans="1:15">
      <c r="A7" s="2" t="s">
        <v>36</v>
      </c>
      <c r="B7" s="5">
        <f>COUNTIF('Dữ Liệu Sạch'!$C$2:$C$25, "Tân Định")</f>
        <v>0</v>
      </c>
      <c r="J7" s="2" t="s">
        <v>85</v>
      </c>
      <c r="K7" s="4">
        <v>4.5</v>
      </c>
      <c r="L7" s="5">
        <v>1100</v>
      </c>
      <c r="N7" s="2" t="s">
        <v>78</v>
      </c>
      <c r="O7" s="5">
        <v>1230</v>
      </c>
    </row>
    <row r="8" spans="1:15">
      <c r="J8" s="2" t="s">
        <v>75</v>
      </c>
      <c r="K8" s="4">
        <v>4.5</v>
      </c>
      <c r="L8" s="5">
        <v>580</v>
      </c>
      <c r="N8" s="2" t="s">
        <v>22</v>
      </c>
      <c r="O8" s="5">
        <v>1200</v>
      </c>
    </row>
    <row r="9" spans="1:15">
      <c r="J9" s="2" t="s">
        <v>17</v>
      </c>
      <c r="K9" s="4">
        <v>4.5</v>
      </c>
      <c r="L9" s="5">
        <v>480</v>
      </c>
      <c r="N9" s="2" t="s">
        <v>85</v>
      </c>
      <c r="O9" s="5">
        <v>1100</v>
      </c>
    </row>
    <row r="10" spans="1:15">
      <c r="J10" s="2" t="s">
        <v>103</v>
      </c>
      <c r="K10" s="4">
        <v>4.5</v>
      </c>
      <c r="L10" s="5">
        <v>350</v>
      </c>
      <c r="N10" s="2" t="s">
        <v>43</v>
      </c>
      <c r="O10" s="5">
        <v>980</v>
      </c>
    </row>
    <row r="11" spans="1:15">
      <c r="J11" s="2" t="s">
        <v>55</v>
      </c>
      <c r="K11" s="4">
        <v>4.5</v>
      </c>
      <c r="L11" s="5">
        <v>280</v>
      </c>
      <c r="N11" s="2" t="s">
        <v>93</v>
      </c>
      <c r="O11" s="5">
        <v>820</v>
      </c>
    </row>
    <row r="12" spans="1:15">
      <c r="N12" s="2" t="s">
        <v>82</v>
      </c>
      <c r="O12" s="5">
        <v>750</v>
      </c>
    </row>
    <row r="13" spans="1:15">
      <c r="N13" s="2" t="s">
        <v>63</v>
      </c>
      <c r="O13" s="5">
        <v>680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8"/>
  <sheetViews>
    <sheetView showGridLines="0" workbookViewId="0"/>
  </sheetViews>
  <sheetFormatPr defaultRowHeight="15"/>
  <cols>
    <col min="1" max="1" width="3.7109375" customWidth="1"/>
    <col min="2" max="3" width="16.7109375" customWidth="1"/>
    <col min="4" max="4" width="4.7109375" customWidth="1"/>
    <col min="5" max="6" width="16.7109375" customWidth="1"/>
    <col min="7" max="7" width="4.7109375" customWidth="1"/>
    <col min="8" max="9" width="16.7109375" customWidth="1"/>
    <col min="10" max="10" width="4.7109375" customWidth="1"/>
    <col min="11" max="12" width="16.7109375" customWidth="1"/>
    <col min="13" max="13" width="3.7109375" customWidth="1"/>
  </cols>
  <sheetData>
    <row r="2" spans="2:12">
      <c r="B2" s="10" t="s">
        <v>120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2:1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6" spans="2:12">
      <c r="B6" s="11" t="s">
        <v>121</v>
      </c>
      <c r="C6" s="11"/>
      <c r="E6" s="11" t="s">
        <v>122</v>
      </c>
      <c r="F6" s="11"/>
      <c r="H6" s="11" t="s">
        <v>123</v>
      </c>
      <c r="I6" s="11"/>
      <c r="K6" s="11" t="s">
        <v>124</v>
      </c>
      <c r="L6" s="11"/>
    </row>
    <row r="7" spans="2:12">
      <c r="B7" s="12">
        <f>COUNTA('Dữ Liệu Sạch'!$A$2:$A$25)</f>
        <v>0</v>
      </c>
      <c r="C7" s="12"/>
      <c r="E7" s="13">
        <f>AVERAGE('Dữ Liệu Sạch'!$G$2:$G$25)</f>
        <v>0</v>
      </c>
      <c r="F7" s="13"/>
      <c r="H7" s="14">
        <f>AVERAGE('Dữ Liệu Sạch'!$F$2:$F$25)</f>
        <v>0</v>
      </c>
      <c r="I7" s="14"/>
      <c r="K7" s="12">
        <f>SUM('Dữ Liệu Sạch'!$H$2:$H$25)</f>
        <v>0</v>
      </c>
      <c r="L7" s="12"/>
    </row>
    <row r="8" spans="2:12">
      <c r="B8" s="12"/>
      <c r="C8" s="12"/>
      <c r="E8" s="13"/>
      <c r="F8" s="13"/>
      <c r="H8" s="14"/>
      <c r="I8" s="14"/>
      <c r="K8" s="12"/>
      <c r="L8" s="12"/>
    </row>
  </sheetData>
  <mergeCells count="9">
    <mergeCell ref="B2:L4"/>
    <mergeCell ref="B6:C6"/>
    <mergeCell ref="B7:C8"/>
    <mergeCell ref="E6:F6"/>
    <mergeCell ref="E7:F8"/>
    <mergeCell ref="H6:I6"/>
    <mergeCell ref="H7:I8"/>
    <mergeCell ref="K6:L6"/>
    <mergeCell ref="K7:L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Dữ Liệu Sạch</vt:lpstr>
      <vt:lpstr>Dữ Liệu Phân Tích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2026-07-13T14:55:49Z</dcterms:created>
  <dcterms:modified xsi:type="dcterms:W3CDTF">2026-07-13T14:55:49Z</dcterms:modified>
</cp:coreProperties>
</file>